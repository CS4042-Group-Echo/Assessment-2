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15-19_years.csv</a:t>
            </a:r>
          </a:p>
        </rich>
      </tx>
    </title>
    <plotArea>
      <lineChart>
        <grouping val="standard"/>
        <ser>
          <idx val="0"/>
          <order val="0"/>
          <tx>
            <strRef>
              <f>'Sheet'!B1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'Sheet'!$A$2:$A$18</f>
            </numRef>
          </cat>
          <val>
            <numRef>
              <f>'Sheet'!$B$2:$B$18</f>
            </numRef>
          </val>
        </ser>
        <ser>
          <idx val="1"/>
          <order val="1"/>
          <tx>
            <strRef>
              <f>'Sheet'!C1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'Sheet'!$A$2:$A$18</f>
            </numRef>
          </cat>
          <val>
            <numRef>
              <f>'Sheet'!$C$2:$C$18</f>
            </numRef>
          </val>
        </ser>
        <ser>
          <idx val="2"/>
          <order val="2"/>
          <tx>
            <strRef>
              <f>'Sheet'!D1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'Sheet'!$A$2:$A$18</f>
            </numRef>
          </cat>
          <val>
            <numRef>
              <f>'Sheet'!$D$2:$D$18</f>
            </numRef>
          </val>
        </ser>
        <ser>
          <idx val="3"/>
          <order val="3"/>
          <tx>
            <strRef>
              <f>'Sheet'!E1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'Sheet'!$A$2:$A$18</f>
            </numRef>
          </cat>
          <val>
            <numRef>
              <f>'Sheet'!$E$2:$E$18</f>
            </numRef>
          </val>
        </ser>
        <ser>
          <idx val="4"/>
          <order val="4"/>
          <tx>
            <strRef>
              <f>'Sheet'!F1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'Sheet'!$A$2:$A$18</f>
            </numRef>
          </cat>
          <val>
            <numRef>
              <f>'Sheet'!$F$2:$F$18</f>
            </numRef>
          </val>
        </ser>
        <ser>
          <idx val="5"/>
          <order val="5"/>
          <tx>
            <strRef>
              <f>'Sheet'!G1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'Sheet'!$A$2:$A$18</f>
            </numRef>
          </cat>
          <val>
            <numRef>
              <f>'Sheet'!$G$2:$G$18</f>
            </numRef>
          </val>
        </ser>
        <ser>
          <idx val="6"/>
          <order val="6"/>
          <tx>
            <strRef>
              <f>'Sheet'!H1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'Sheet'!$A$2:$A$18</f>
            </numRef>
          </cat>
          <val>
            <numRef>
              <f>'Sheet'!$H$2:$H$18</f>
            </numRef>
          </val>
        </ser>
        <ser>
          <idx val="7"/>
          <order val="7"/>
          <tx>
            <strRef>
              <f>'Sheet'!I1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'Sheet'!$A$2:$A$18</f>
            </numRef>
          </cat>
          <val>
            <numRef>
              <f>'Sheet'!$I$2:$I$18</f>
            </numRef>
          </val>
        </ser>
        <ser>
          <idx val="8"/>
          <order val="8"/>
          <tx>
            <strRef>
              <f>'Sheet'!J1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'Sheet'!$A$2:$A$18</f>
            </numRef>
          </cat>
          <val>
            <numRef>
              <f>'Sheet'!$J$2:$J$18</f>
            </numRef>
          </val>
        </ser>
        <ser>
          <idx val="9"/>
          <order val="9"/>
          <tx>
            <strRef>
              <f>'Sheet'!K1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'Sheet'!$A$2:$A$18</f>
            </numRef>
          </cat>
          <val>
            <numRef>
              <f>'Sheet'!$K$2:$K$18</f>
            </numRef>
          </val>
        </ser>
        <ser>
          <idx val="10"/>
          <order val="10"/>
          <tx>
            <strRef>
              <f>'Sheet'!L1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'Sheet'!$A$2:$A$18</f>
            </numRef>
          </cat>
          <val>
            <numRef>
              <f>'Sheet'!$L$2:$L$18</f>
            </numRef>
          </val>
        </ser>
        <ser>
          <idx val="11"/>
          <order val="11"/>
          <tx>
            <strRef>
              <f>'Sheet'!M1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'Sheet'!$A$2:$A$18</f>
            </numRef>
          </cat>
          <val>
            <numRef>
              <f>'Sheet'!$M$2:$M$18</f>
            </numRef>
          </val>
        </ser>
        <ser>
          <idx val="12"/>
          <order val="12"/>
          <tx>
            <strRef>
              <f>'Sheet'!N1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'Sheet'!$A$2:$A$18</f>
            </numRef>
          </cat>
          <val>
            <numRef>
              <f>'Sheet'!$N$2:$N$18</f>
            </numRef>
          </val>
        </ser>
        <ser>
          <idx val="13"/>
          <order val="13"/>
          <tx>
            <strRef>
              <f>'Sheet'!O1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'Sheet'!$A$2:$A$18</f>
            </numRef>
          </cat>
          <val>
            <numRef>
              <f>'Sheet'!$O$2:$O$18</f>
            </numRef>
          </val>
        </ser>
        <ser>
          <idx val="14"/>
          <order val="14"/>
          <tx>
            <strRef>
              <f>'Sheet'!P1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'Sheet'!$A$2:$A$18</f>
            </numRef>
          </cat>
          <val>
            <numRef>
              <f>'Sheet'!$P$2:$P$18</f>
            </numRef>
          </val>
        </ser>
        <ser>
          <idx val="15"/>
          <order val="15"/>
          <tx>
            <strRef>
              <f>'Sheet'!Q1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'Sheet'!$A$2:$A$18</f>
            </numRef>
          </cat>
          <val>
            <numRef>
              <f>'Sheet'!$Q$2:$Q$18</f>
            </numRef>
          </val>
        </ser>
        <ser>
          <idx val="16"/>
          <order val="16"/>
          <tx>
            <strRef>
              <f>'Sheet'!R1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'Sheet'!$A$2:$A$18</f>
            </numRef>
          </cat>
          <val>
            <numRef>
              <f>'Sheet'!$R$2:$R$18</f>
            </numRef>
          </val>
        </ser>
        <ser>
          <idx val="17"/>
          <order val="17"/>
          <tx>
            <strRef>
              <f>'Sheet'!S1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'Sheet'!$A$2:$A$18</f>
            </numRef>
          </cat>
          <val>
            <numRef>
              <f>'Sheet'!$S$2:$S$18</f>
            </numRef>
          </val>
        </ser>
        <ser>
          <idx val="18"/>
          <order val="18"/>
          <tx>
            <strRef>
              <f>'Sheet'!T1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'Sheet'!$A$2:$A$18</f>
            </numRef>
          </cat>
          <val>
            <numRef>
              <f>'Sheet'!$T$2:$T$18</f>
            </numRef>
          </val>
        </ser>
        <ser>
          <idx val="19"/>
          <order val="19"/>
          <tx>
            <strRef>
              <f>'Sheet'!U1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'Sheet'!$A$2:$A$18</f>
            </numRef>
          </cat>
          <val>
            <numRef>
              <f>'Sheet'!$U$2:$U$18</f>
            </numRef>
          </val>
        </ser>
        <ser>
          <idx val="20"/>
          <order val="20"/>
          <tx>
            <strRef>
              <f>'Sheet'!V1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'Sheet'!$A$2:$A$18</f>
            </numRef>
          </cat>
          <val>
            <numRef>
              <f>'Sheet'!$V$2:$V$18</f>
            </numRef>
          </val>
        </ser>
        <ser>
          <idx val="21"/>
          <order val="21"/>
          <tx>
            <strRef>
              <f>'Sheet'!W1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'Sheet'!$A$2:$A$18</f>
            </numRef>
          </cat>
          <val>
            <numRef>
              <f>'Sheet'!$W$2:$W$18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X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Currently serving in the regular service</t>
        </is>
      </c>
      <c r="C1" t="inlineStr">
        <is>
          <t>Currently serving in the reserves service</t>
        </is>
      </c>
      <c r="D1" t="inlineStr">
        <is>
          <t>Previously served (and not currently serving) (c)</t>
        </is>
      </c>
      <c r="E1" t="inlineStr">
        <is>
          <t>Total ever served(d)</t>
        </is>
      </c>
      <c r="F1" t="inlineStr">
        <is>
          <t>Has never served in the Australian Defence Force</t>
        </is>
      </c>
      <c r="G1" t="inlineStr">
        <is>
          <t>Not stated</t>
        </is>
      </c>
      <c r="H1" t="inlineStr">
        <is>
          <t>Total</t>
        </is>
      </c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</row>
    <row r="2">
      <c r="A2" t="inlineStr">
        <is>
          <t>20-24 years</t>
        </is>
      </c>
      <c r="B2" t="n">
        <v>3024</v>
      </c>
      <c r="C2" t="n">
        <v>409</v>
      </c>
      <c r="D2" t="n">
        <v>1033</v>
      </c>
      <c r="E2" t="n">
        <v>4459</v>
      </c>
      <c r="F2" t="n">
        <v>724172</v>
      </c>
      <c r="G2" t="n">
        <v>44081</v>
      </c>
      <c r="H2" t="n">
        <v>772711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</row>
    <row r="3">
      <c r="A3" t="inlineStr">
        <is>
          <t>25-29 ye0ars</t>
        </is>
      </c>
      <c r="B3" t="n">
        <v>2636</v>
      </c>
      <c r="C3" t="n">
        <v>620</v>
      </c>
      <c r="D3" t="n">
        <v>1715</v>
      </c>
      <c r="E3" t="n">
        <v>4966</v>
      </c>
      <c r="F3" t="n">
        <v>824737</v>
      </c>
      <c r="G3" t="n">
        <v>55130</v>
      </c>
      <c r="H3" t="n">
        <v>884837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</row>
    <row r="4">
      <c r="A4" t="inlineStr">
        <is>
          <t>30-34 years</t>
        </is>
      </c>
      <c r="B4" t="n">
        <v>2036</v>
      </c>
      <c r="C4" t="n">
        <v>619</v>
      </c>
      <c r="D4" t="n">
        <v>2600</v>
      </c>
      <c r="E4" t="n">
        <v>5254</v>
      </c>
      <c r="F4" t="n">
        <v>890000</v>
      </c>
      <c r="G4" t="n">
        <v>53439</v>
      </c>
      <c r="H4" t="n">
        <v>948691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</row>
    <row r="5">
      <c r="A5" t="inlineStr">
        <is>
          <t>35-39 years</t>
        </is>
      </c>
      <c r="B5" t="n">
        <v>1479</v>
      </c>
      <c r="C5" t="n">
        <v>646</v>
      </c>
      <c r="D5" t="n">
        <v>3096</v>
      </c>
      <c r="E5" t="n">
        <v>5223</v>
      </c>
      <c r="F5" t="n">
        <v>882302</v>
      </c>
      <c r="G5" t="n">
        <v>49604</v>
      </c>
      <c r="H5" t="n">
        <v>937130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</row>
    <row r="6">
      <c r="A6" t="inlineStr">
        <is>
          <t>40-44 years</t>
        </is>
      </c>
      <c r="B6" t="n">
        <v>973</v>
      </c>
      <c r="C6" t="n">
        <v>559</v>
      </c>
      <c r="D6" t="n">
        <v>4487</v>
      </c>
      <c r="E6" t="n">
        <v>6016</v>
      </c>
      <c r="F6" t="n">
        <v>787757</v>
      </c>
      <c r="G6" t="n">
        <v>40662</v>
      </c>
      <c r="H6" t="n">
        <v>834435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</row>
    <row r="7">
      <c r="A7" t="inlineStr">
        <is>
          <t>45-49 years</t>
        </is>
      </c>
      <c r="B7" t="n">
        <v>779</v>
      </c>
      <c r="C7" t="n">
        <v>556</v>
      </c>
      <c r="D7" t="n">
        <v>5846</v>
      </c>
      <c r="E7" t="n">
        <v>7177</v>
      </c>
      <c r="F7" t="n">
        <v>787321</v>
      </c>
      <c r="G7" t="n">
        <v>38944</v>
      </c>
      <c r="H7" t="n">
        <v>833442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</row>
    <row r="8">
      <c r="A8" t="inlineStr">
        <is>
          <t>50-54 years</t>
        </is>
      </c>
      <c r="B8" t="n">
        <v>658</v>
      </c>
      <c r="C8" t="n">
        <v>515</v>
      </c>
      <c r="D8" t="n">
        <v>8440</v>
      </c>
      <c r="E8" t="n">
        <v>9617</v>
      </c>
      <c r="F8" t="n">
        <v>777925</v>
      </c>
      <c r="G8" t="n">
        <v>36231</v>
      </c>
      <c r="H8" t="n">
        <v>823781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</row>
    <row r="9">
      <c r="A9" t="inlineStr">
        <is>
          <t>55-59 years</t>
        </is>
      </c>
      <c r="B9" t="n">
        <v>281</v>
      </c>
      <c r="C9" t="n">
        <v>389</v>
      </c>
      <c r="D9" t="n">
        <v>8183</v>
      </c>
      <c r="E9" t="n">
        <v>8859</v>
      </c>
      <c r="F9" t="n">
        <v>744284</v>
      </c>
      <c r="G9" t="n">
        <v>34532</v>
      </c>
      <c r="H9" t="n">
        <v>787674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</row>
    <row r="10">
      <c r="A10" t="inlineStr">
        <is>
          <t>60-64 years</t>
        </is>
      </c>
      <c r="B10" t="n">
        <v>0</v>
      </c>
      <c r="C10" t="n">
        <v>269</v>
      </c>
      <c r="D10" t="n">
        <v>8305</v>
      </c>
      <c r="E10" t="n">
        <v>8714</v>
      </c>
      <c r="F10" t="n">
        <v>716104</v>
      </c>
      <c r="G10" t="n">
        <v>32125</v>
      </c>
      <c r="H10" t="n">
        <v>756943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</row>
    <row r="11">
      <c r="A11" t="inlineStr">
        <is>
          <t>65-69 years</t>
        </is>
      </c>
      <c r="B11" t="inlineStr">
        <is>
          <t>..</t>
        </is>
      </c>
      <c r="C11" t="inlineStr">
        <is>
          <t>..</t>
        </is>
      </c>
      <c r="D11" t="n">
        <v>6817</v>
      </c>
      <c r="E11" t="n">
        <v>6817</v>
      </c>
      <c r="F11" t="n">
        <v>635307</v>
      </c>
      <c r="G11" t="n">
        <v>30437</v>
      </c>
      <c r="H11" t="n">
        <v>672561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</row>
    <row r="12">
      <c r="A12" t="inlineStr">
        <is>
          <t>70-74 years</t>
        </is>
      </c>
      <c r="B12" t="inlineStr">
        <is>
          <t>..</t>
        </is>
      </c>
      <c r="C12" t="inlineStr">
        <is>
          <t>..</t>
        </is>
      </c>
      <c r="D12" t="n">
        <v>5765</v>
      </c>
      <c r="E12" t="n">
        <v>5765</v>
      </c>
      <c r="F12" t="n">
        <v>562819</v>
      </c>
      <c r="G12" t="n">
        <v>30905</v>
      </c>
      <c r="H12" t="n">
        <v>599493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</row>
    <row r="13">
      <c r="A13" t="inlineStr">
        <is>
          <t>75-79 years</t>
        </is>
      </c>
      <c r="B13" t="inlineStr">
        <is>
          <t>..</t>
        </is>
      </c>
      <c r="C13" t="inlineStr">
        <is>
          <t>..</t>
        </is>
      </c>
      <c r="D13" t="n">
        <v>0</v>
      </c>
      <c r="E13" t="n">
        <v>3620</v>
      </c>
      <c r="F13" t="n">
        <v>397660</v>
      </c>
      <c r="G13" t="n">
        <v>28003</v>
      </c>
      <c r="H13" t="n">
        <v>429281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</row>
    <row r="14">
      <c r="A14" t="inlineStr">
        <is>
          <t>80-84 years</t>
        </is>
      </c>
      <c r="B14" t="inlineStr">
        <is>
          <t>..</t>
        </is>
      </c>
      <c r="C14" t="inlineStr">
        <is>
          <t>..</t>
        </is>
      </c>
      <c r="D14" t="n">
        <v>2332</v>
      </c>
      <c r="E14" t="n">
        <v>2332</v>
      </c>
      <c r="F14" t="n">
        <v>2711860</v>
      </c>
      <c r="G14" t="n">
        <v>27932</v>
      </c>
      <c r="H14" t="n">
        <v>302129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</row>
    <row r="15">
      <c r="A15" t="inlineStr">
        <is>
          <t>85 years and over</t>
        </is>
      </c>
      <c r="B15" t="n">
        <v>0</v>
      </c>
      <c r="C15" t="inlineStr">
        <is>
          <t>..</t>
        </is>
      </c>
      <c r="D15" t="n">
        <v>4194</v>
      </c>
      <c r="E15" t="n">
        <v>4194</v>
      </c>
      <c r="F15" t="n">
        <v>278885</v>
      </c>
      <c r="G15" t="n">
        <v>48826</v>
      </c>
      <c r="H15" t="n">
        <v>331903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</row>
    <row r="16">
      <c r="A16" t="inlineStr">
        <is>
          <t>Total</t>
        </is>
      </c>
      <c r="B16" t="n">
        <v>12791</v>
      </c>
      <c r="C16" t="n">
        <v>4683</v>
      </c>
      <c r="D16" t="n">
        <v>66639</v>
      </c>
      <c r="E16" t="n">
        <v>84108</v>
      </c>
      <c r="F16" t="n">
        <v>9949853</v>
      </c>
      <c r="G16" t="n">
        <v>589523</v>
      </c>
      <c r="H16" t="n">
        <v>10623484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</row>
    <row r="17">
      <c r="A17" t="inlineStr"/>
      <c r="B17" t="inlineStr">
        <is>
          <t>PERSONS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</row>
    <row r="18">
      <c r="A18" t="inlineStr">
        <is>
          <t>15-19 years</t>
        </is>
      </c>
      <c r="B18" t="n">
        <v>3005</v>
      </c>
      <c r="C18" t="n">
        <v>404</v>
      </c>
      <c r="D18" t="n">
        <v>748</v>
      </c>
      <c r="E18" t="n">
        <v>4157</v>
      </c>
      <c r="F18" t="n">
        <v>1372275</v>
      </c>
      <c r="G18" t="n">
        <v>81375</v>
      </c>
      <c r="H18" t="n">
        <v>1457812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2025-12-02T19:17:58Z</dcterms:created>
  <dcterms:modified xsi:type="dcterms:W3CDTF">2025-12-02T19:17:58Z</dcterms:modified>
</cp:coreProperties>
</file>